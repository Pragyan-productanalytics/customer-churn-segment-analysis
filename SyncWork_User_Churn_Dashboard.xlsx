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48" windowWidth="16260" windowHeight="6384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3" i="1" l="1"/>
  <c r="D13" i="1"/>
  <c r="C13" i="1"/>
  <c r="E12" i="1"/>
  <c r="E11" i="1"/>
  <c r="E10" i="1"/>
</calcChain>
</file>

<file path=xl/sharedStrings.xml><?xml version="1.0" encoding="utf-8"?>
<sst xmlns="http://schemas.openxmlformats.org/spreadsheetml/2006/main" count="17" uniqueCount="16">
  <si>
    <t>Product Retention &amp; User Churn Performance Dashboard</t>
  </si>
  <si>
    <t>Portfolio Project 2 — Core Product Analytics Tracking Metrics</t>
  </si>
  <si>
    <t>Total Portfolio Users</t>
  </si>
  <si>
    <t>Overall Active Cohorts</t>
  </si>
  <si>
    <t>Average Retention Rate</t>
  </si>
  <si>
    <t>Subscription Plan</t>
  </si>
  <si>
    <t>Total Segment Users</t>
  </si>
  <si>
    <t>Churned Users Count</t>
  </si>
  <si>
    <t>Calculated Churn Rate</t>
  </si>
  <si>
    <t>Retention Health Status</t>
  </si>
  <si>
    <t>Premium</t>
  </si>
  <si>
    <t>Optimal Retention</t>
  </si>
  <si>
    <t>Free Tier</t>
  </si>
  <si>
    <t>Critical Churn Alert</t>
  </si>
  <si>
    <t>Basic</t>
  </si>
  <si>
    <t>Total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</si>
</sst>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i/>
      <sz val="11"/>
      <color theme="3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7" fillId="2" borderId="0" xfId="0" applyFont="1" applyFill="1"/>
    <xf numFmtId="9" fontId="0" fillId="0" borderId="0" xfId="1" applyFont="1" applyAlignment="1">
      <alignment horizontal="center"/>
    </xf>
    <xf numFmtId="9" fontId="0" fillId="0" borderId="0" xfId="1" applyFont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"/>
  <sheetViews>
    <sheetView showGridLines="0" tabSelected="1" workbookViewId="0">
      <selection activeCell="B19" sqref="B19"/>
    </sheetView>
  </sheetViews>
  <sheetFormatPr defaultRowHeight="14.4" x14ac:dyDescent="0.3"/>
  <cols>
    <col min="1" max="2" width="21.77734375" style="1" customWidth="1"/>
    <col min="3" max="3" width="21.6640625" style="1" customWidth="1"/>
    <col min="4" max="6" width="21.77734375" style="1" customWidth="1"/>
    <col min="7" max="16384" width="8.88671875" style="1"/>
  </cols>
  <sheetData>
    <row r="2" spans="1:6" ht="21" x14ac:dyDescent="0.4">
      <c r="B2" s="2" t="s">
        <v>0</v>
      </c>
    </row>
    <row r="4" spans="1:6" x14ac:dyDescent="0.3">
      <c r="A4" s="3" t="s">
        <v>1</v>
      </c>
    </row>
    <row r="5" spans="1:6" x14ac:dyDescent="0.3">
      <c r="D5" s="8" t="s">
        <v>3</v>
      </c>
    </row>
    <row r="6" spans="1:6" s="4" customFormat="1" ht="23.4" x14ac:dyDescent="0.25">
      <c r="B6" s="8" t="s">
        <v>2</v>
      </c>
      <c r="D6" s="6">
        <v>11</v>
      </c>
      <c r="F6" s="8" t="s">
        <v>4</v>
      </c>
    </row>
    <row r="7" spans="1:6" s="5" customFormat="1" ht="23.4" x14ac:dyDescent="0.45">
      <c r="B7" s="6">
        <v>20</v>
      </c>
      <c r="F7" s="7">
        <v>0.55000000000000004</v>
      </c>
    </row>
    <row r="9" spans="1:6" s="10" customFormat="1" x14ac:dyDescent="0.3">
      <c r="B9" s="11" t="s">
        <v>5</v>
      </c>
      <c r="C9" s="11" t="s">
        <v>6</v>
      </c>
      <c r="D9" s="11" t="s">
        <v>7</v>
      </c>
      <c r="E9" s="11" t="s">
        <v>8</v>
      </c>
      <c r="F9" s="10" t="s">
        <v>9</v>
      </c>
    </row>
    <row r="10" spans="1:6" x14ac:dyDescent="0.3">
      <c r="B10" s="9" t="s">
        <v>10</v>
      </c>
      <c r="C10" s="9">
        <v>8</v>
      </c>
      <c r="D10" s="9">
        <v>1</v>
      </c>
      <c r="E10" s="13">
        <f>D10/C10</f>
        <v>0.125</v>
      </c>
      <c r="F10" s="9" t="s">
        <v>11</v>
      </c>
    </row>
    <row r="11" spans="1:6" x14ac:dyDescent="0.3">
      <c r="B11" s="9" t="s">
        <v>12</v>
      </c>
      <c r="C11" s="9">
        <v>6</v>
      </c>
      <c r="D11" s="9">
        <v>4</v>
      </c>
      <c r="E11" s="13">
        <f>D11/C11</f>
        <v>0.66666666666666663</v>
      </c>
      <c r="F11" s="9" t="s">
        <v>13</v>
      </c>
    </row>
    <row r="12" spans="1:6" x14ac:dyDescent="0.3">
      <c r="B12" s="9" t="s">
        <v>14</v>
      </c>
      <c r="C12" s="9">
        <v>6</v>
      </c>
      <c r="D12" s="9">
        <v>4</v>
      </c>
      <c r="E12" s="14">
        <f>D12/C12</f>
        <v>0.66666666666666663</v>
      </c>
      <c r="F12" s="9" t="s">
        <v>13</v>
      </c>
    </row>
    <row r="13" spans="1:6" ht="15" thickBot="1" x14ac:dyDescent="0.35">
      <c r="B13" s="15" t="s">
        <v>15</v>
      </c>
      <c r="C13" s="16">
        <f>SUM(C10:C12)</f>
        <v>20</v>
      </c>
      <c r="D13" s="16">
        <f>SUM(D10:D12)</f>
        <v>9</v>
      </c>
      <c r="E13" s="17">
        <f>D13/C13</f>
        <v>0.45</v>
      </c>
    </row>
    <row r="14" spans="1:6" ht="15" thickTop="1" x14ac:dyDescent="0.3">
      <c r="B14" s="12"/>
    </row>
  </sheetData>
  <conditionalFormatting sqref="F10:F12">
    <cfRule type="containsText" dxfId="4" priority="3" operator="containsText" text="Optimal Retention">
      <formula>NOT(ISERROR(SEARCH("Optimal Retention",F10)))</formula>
    </cfRule>
  </conditionalFormatting>
  <conditionalFormatting sqref="F11:F12">
    <cfRule type="containsText" dxfId="3" priority="2" operator="containsText" text="Critical Churn Alert">
      <formula>NOT(ISERROR(SEARCH("Critical Churn Alert",F11)))</formula>
    </cfRule>
  </conditionalFormatting>
  <conditionalFormatting sqref="F10">
    <cfRule type="containsText" dxfId="0" priority="1" operator="containsText" text="Optimal Retention">
      <formula>NOT(ISERROR(SEARCH("Optimal Retention",F10)))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2026-06-04T07:09:31Z</dcterms:created>
  <dcterms:modified xsi:type="dcterms:W3CDTF">2026-06-05T09:24:15Z</dcterms:modified>
</cp:coreProperties>
</file>